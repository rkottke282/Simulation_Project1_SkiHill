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dK\OneDrive\Documents\GATechOMS\ISYE6644\Project 1\Ski Hill Simulation\"/>
    </mc:Choice>
  </mc:AlternateContent>
  <xr:revisionPtr revIDLastSave="0" documentId="8_{FADB961B-E8C5-420A-80CF-1BAAFF5F6142}" xr6:coauthVersionLast="45" xr6:coauthVersionMax="45" xr10:uidLastSave="{00000000-0000-0000-0000-000000000000}"/>
  <bookViews>
    <workbookView xWindow="-110" yWindow="490" windowWidth="19420" windowHeight="10420" activeTab="1" xr2:uid="{12F4664B-67AB-4B7C-B93C-1540B23BD3C9}"/>
  </bookViews>
  <sheets>
    <sheet name="Sheet1" sheetId="1" r:id="rId1"/>
    <sheet name="Sheet2" sheetId="2" r:id="rId2"/>
    <sheet name="Sheet3" sheetId="3" r:id="rId3"/>
  </sheets>
  <definedNames>
    <definedName name="_xlchart.v1.0" hidden="1">Sheet1!$A$2:$A$105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E9" i="2" s="1"/>
  <c r="B10" i="2"/>
  <c r="C10" i="2" s="1"/>
  <c r="H8" i="2"/>
  <c r="I8" i="2"/>
  <c r="H9" i="2"/>
  <c r="I9" i="2"/>
  <c r="H10" i="2"/>
  <c r="I10" i="2"/>
  <c r="B8" i="2"/>
  <c r="C8" i="2" s="1"/>
  <c r="H4" i="2"/>
  <c r="I4" i="2"/>
  <c r="H5" i="2"/>
  <c r="I5" i="2"/>
  <c r="H6" i="2"/>
  <c r="I6" i="2"/>
  <c r="H7" i="2"/>
  <c r="I7" i="2"/>
  <c r="H3" i="2"/>
  <c r="I3" i="2"/>
  <c r="B3" i="2"/>
  <c r="D3" i="2" s="1"/>
  <c r="I2" i="2"/>
  <c r="H2" i="2"/>
  <c r="B4" i="2"/>
  <c r="D4" i="2" s="1"/>
  <c r="B5" i="2"/>
  <c r="E5" i="2" s="1"/>
  <c r="B6" i="2"/>
  <c r="D6" i="2" s="1"/>
  <c r="B7" i="2"/>
  <c r="C7" i="2" s="1"/>
  <c r="B2" i="2"/>
  <c r="D2" i="2" s="1"/>
  <c r="D9" i="2" l="1"/>
  <c r="C9" i="2"/>
  <c r="E10" i="2"/>
  <c r="D10" i="2"/>
  <c r="E8" i="2"/>
  <c r="D8" i="2"/>
  <c r="C3" i="2"/>
  <c r="E3" i="2"/>
  <c r="C2" i="2"/>
  <c r="C4" i="2"/>
  <c r="E2" i="2"/>
  <c r="E7" i="2"/>
  <c r="D5" i="2"/>
  <c r="D7" i="2"/>
  <c r="E6" i="2"/>
  <c r="C6" i="2"/>
  <c r="C5" i="2"/>
  <c r="E4" i="2"/>
  <c r="D21" i="1"/>
  <c r="D20" i="1"/>
  <c r="D19" i="1"/>
  <c r="D18" i="1"/>
  <c r="C21" i="1"/>
  <c r="C20" i="1"/>
  <c r="C19" i="1"/>
  <c r="C18" i="1"/>
</calcChain>
</file>

<file path=xl/sharedStrings.xml><?xml version="1.0" encoding="utf-8"?>
<sst xmlns="http://schemas.openxmlformats.org/spreadsheetml/2006/main" count="14" uniqueCount="13">
  <si>
    <t>Number Riders per Chair</t>
  </si>
  <si>
    <t>1 Rider</t>
  </si>
  <si>
    <t>2 Riders</t>
  </si>
  <si>
    <t>3 Riders</t>
  </si>
  <si>
    <t>4 Riders</t>
  </si>
  <si>
    <t xml:space="preserve">Real </t>
  </si>
  <si>
    <t>Scaled (1/8)</t>
  </si>
  <si>
    <t>Average (hours)</t>
  </si>
  <si>
    <t>Max (hours)</t>
  </si>
  <si>
    <t>Average(Minutes)</t>
  </si>
  <si>
    <t>Max(Minutes)</t>
  </si>
  <si>
    <t>Average(Min)</t>
  </si>
  <si>
    <t>Max(Min)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</si>
</sst>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6" xfId="0" applyFont="1" applyBorder="1"/>
    <xf numFmtId="2" fontId="0" fillId="0" borderId="0" xfId="0" applyNumberFormat="1"/>
    <xf numFmtId="2" fontId="0" fillId="0" borderId="0" xfId="0" applyNumberFormat="1" applyBorder="1"/>
    <xf numFmtId="2" fontId="0" fillId="0" borderId="2" xfId="0" applyNumberFormat="1" applyBorder="1"/>
    <xf numFmtId="2" fontId="1" fillId="0" borderId="7" xfId="0" applyNumberFormat="1" applyFont="1" applyBorder="1"/>
    <xf numFmtId="2" fontId="1" fillId="0" borderId="8" xfId="0" applyNumberFormat="1" applyFont="1" applyBorder="1"/>
    <xf numFmtId="0" fontId="1" fillId="0" borderId="3" xfId="0" applyFont="1" applyBorder="1"/>
    <xf numFmtId="2" fontId="1" fillId="0" borderId="4" xfId="0" applyNumberFormat="1" applyFont="1" applyBorder="1"/>
    <xf numFmtId="2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Riders per Chair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Riders per Chair</a:t>
          </a:r>
        </a:p>
      </cx:txPr>
    </cx:title>
    <cx:plotArea>
      <cx:plotAreaRegion>
        <cx:series layoutId="clusteredColumn" uniqueId="{02C75FFC-CA3D-42DF-A9D8-5FCA68ED0DEA}"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</xdr:row>
      <xdr:rowOff>66675</xdr:rowOff>
    </xdr:from>
    <xdr:to>
      <xdr:col>9</xdr:col>
      <xdr:colOff>47625</xdr:colOff>
      <xdr:row>16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ACE0D3-E88E-439D-AFA4-A5EE453DB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3725" y="250825"/>
              <a:ext cx="4686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7434-330E-4653-815D-A5702F49D5C3}">
  <dimension ref="A1:DJ105"/>
  <sheetViews>
    <sheetView topLeftCell="A8" workbookViewId="0">
      <selection activeCell="D22" sqref="D22"/>
    </sheetView>
  </sheetViews>
  <sheetFormatPr defaultRowHeight="14.5" x14ac:dyDescent="0.35"/>
  <cols>
    <col min="1" max="1" width="21.6328125" style="1" bestFit="1" customWidth="1"/>
    <col min="4" max="4" width="10.36328125" bestFit="1" customWidth="1"/>
  </cols>
  <sheetData>
    <row r="1" spans="1:114" x14ac:dyDescent="0.35">
      <c r="A1" s="1" t="s">
        <v>0</v>
      </c>
    </row>
    <row r="2" spans="1:114" x14ac:dyDescent="0.35">
      <c r="A2" s="2">
        <v>2</v>
      </c>
    </row>
    <row r="3" spans="1:114" x14ac:dyDescent="0.35">
      <c r="A3" s="2">
        <v>2</v>
      </c>
      <c r="K3" s="2">
        <v>2</v>
      </c>
      <c r="L3" s="2">
        <v>2</v>
      </c>
      <c r="M3" s="2">
        <v>2</v>
      </c>
      <c r="N3" s="2">
        <v>4</v>
      </c>
      <c r="O3" s="2">
        <v>3</v>
      </c>
      <c r="P3" s="2">
        <v>2</v>
      </c>
      <c r="Q3" s="2">
        <v>3</v>
      </c>
      <c r="R3" s="2">
        <v>1</v>
      </c>
      <c r="S3" s="2">
        <v>2</v>
      </c>
      <c r="T3" s="2">
        <v>3</v>
      </c>
      <c r="U3" s="2">
        <v>2</v>
      </c>
      <c r="V3" s="2">
        <v>2</v>
      </c>
      <c r="W3" s="2">
        <v>2</v>
      </c>
      <c r="X3" s="2">
        <v>2</v>
      </c>
      <c r="Y3" s="2">
        <v>1</v>
      </c>
      <c r="Z3" s="2">
        <v>2</v>
      </c>
      <c r="AA3" s="2">
        <v>1</v>
      </c>
      <c r="AB3" s="2">
        <v>2</v>
      </c>
      <c r="AC3" s="2">
        <v>1</v>
      </c>
      <c r="AD3" s="2">
        <v>3</v>
      </c>
      <c r="AE3" s="2">
        <v>2</v>
      </c>
      <c r="AF3" s="2">
        <v>3</v>
      </c>
      <c r="AG3" s="2">
        <v>3</v>
      </c>
      <c r="AH3" s="2">
        <v>2</v>
      </c>
      <c r="AI3" s="2">
        <v>4</v>
      </c>
      <c r="AJ3" s="2">
        <v>2</v>
      </c>
      <c r="AK3" s="2">
        <v>3</v>
      </c>
      <c r="AL3" s="2">
        <v>2</v>
      </c>
      <c r="AM3" s="2">
        <v>2</v>
      </c>
      <c r="AN3" s="2">
        <v>4</v>
      </c>
      <c r="AO3" s="2">
        <v>3</v>
      </c>
      <c r="AP3" s="2">
        <v>2</v>
      </c>
      <c r="AQ3" s="2">
        <v>2</v>
      </c>
      <c r="AR3" s="2">
        <v>1</v>
      </c>
      <c r="AS3" s="2">
        <v>3</v>
      </c>
      <c r="AT3" s="2">
        <v>4</v>
      </c>
      <c r="AU3" s="2">
        <v>4</v>
      </c>
      <c r="AV3" s="2">
        <v>2</v>
      </c>
      <c r="AW3" s="2">
        <v>2</v>
      </c>
      <c r="AX3" s="2">
        <v>1</v>
      </c>
      <c r="AY3" s="2">
        <v>2</v>
      </c>
      <c r="AZ3" s="2">
        <v>3</v>
      </c>
      <c r="BA3" s="2">
        <v>2</v>
      </c>
      <c r="BB3" s="2">
        <v>2</v>
      </c>
      <c r="BC3" s="2">
        <v>2</v>
      </c>
      <c r="BD3" s="2">
        <v>4</v>
      </c>
      <c r="BE3" s="2">
        <v>3</v>
      </c>
      <c r="BF3" s="2">
        <v>2</v>
      </c>
      <c r="BG3" s="2">
        <v>3</v>
      </c>
      <c r="BH3" s="2">
        <v>2</v>
      </c>
      <c r="BI3" s="2">
        <v>3</v>
      </c>
      <c r="BJ3" s="2">
        <v>2</v>
      </c>
      <c r="BK3" s="2">
        <v>1</v>
      </c>
      <c r="BL3" s="2">
        <v>3</v>
      </c>
      <c r="BM3" s="2">
        <v>3</v>
      </c>
      <c r="BN3" s="2">
        <v>2</v>
      </c>
      <c r="BO3" s="2">
        <v>4</v>
      </c>
      <c r="BP3" s="2">
        <v>3</v>
      </c>
      <c r="BQ3" s="2">
        <v>1</v>
      </c>
      <c r="BR3" s="2">
        <v>2</v>
      </c>
      <c r="BS3" s="2">
        <v>3</v>
      </c>
      <c r="BT3" s="2">
        <v>4</v>
      </c>
      <c r="BU3" s="2">
        <v>1</v>
      </c>
      <c r="BV3" s="2">
        <v>3</v>
      </c>
      <c r="BW3" s="2">
        <v>3</v>
      </c>
      <c r="BX3" s="2">
        <v>2</v>
      </c>
      <c r="BY3" s="2">
        <v>2</v>
      </c>
      <c r="BZ3" s="2">
        <v>1</v>
      </c>
      <c r="CA3" s="2">
        <v>2</v>
      </c>
      <c r="CB3" s="2">
        <v>2</v>
      </c>
      <c r="CC3" s="2">
        <v>2</v>
      </c>
      <c r="CD3" s="2">
        <v>2</v>
      </c>
      <c r="CE3" s="2">
        <v>4</v>
      </c>
      <c r="CF3" s="2">
        <v>1</v>
      </c>
      <c r="CG3" s="2">
        <v>4</v>
      </c>
      <c r="CH3" s="2">
        <v>2</v>
      </c>
      <c r="CI3" s="2">
        <v>1</v>
      </c>
      <c r="CJ3" s="2">
        <v>1</v>
      </c>
      <c r="CK3" s="2">
        <v>1</v>
      </c>
      <c r="CL3" s="2">
        <v>2</v>
      </c>
      <c r="CM3" s="2">
        <v>1</v>
      </c>
      <c r="CN3" s="2">
        <v>2</v>
      </c>
      <c r="CO3" s="2">
        <v>4</v>
      </c>
      <c r="CP3" s="2">
        <v>2</v>
      </c>
      <c r="CQ3" s="2">
        <v>4</v>
      </c>
      <c r="CR3" s="2">
        <v>3</v>
      </c>
      <c r="CS3" s="2">
        <v>2</v>
      </c>
      <c r="CT3" s="2">
        <v>2</v>
      </c>
      <c r="CU3" s="2">
        <v>2</v>
      </c>
      <c r="CV3" s="2">
        <v>2</v>
      </c>
      <c r="CW3" s="2">
        <v>2</v>
      </c>
      <c r="CX3" s="2">
        <v>3</v>
      </c>
      <c r="CY3" s="2">
        <v>2</v>
      </c>
      <c r="CZ3" s="2">
        <v>3</v>
      </c>
      <c r="DA3" s="2">
        <v>2</v>
      </c>
      <c r="DB3" s="2">
        <v>3</v>
      </c>
      <c r="DC3" s="2">
        <v>2</v>
      </c>
      <c r="DD3" s="2">
        <v>3</v>
      </c>
      <c r="DE3" s="2">
        <v>2</v>
      </c>
      <c r="DF3" s="2">
        <v>4</v>
      </c>
      <c r="DG3" s="2">
        <v>4</v>
      </c>
      <c r="DH3" s="2">
        <v>2</v>
      </c>
      <c r="DI3" s="2">
        <v>3</v>
      </c>
      <c r="DJ3" s="2">
        <v>2</v>
      </c>
    </row>
    <row r="4" spans="1:114" x14ac:dyDescent="0.35">
      <c r="A4" s="2">
        <v>2</v>
      </c>
    </row>
    <row r="5" spans="1:114" x14ac:dyDescent="0.35">
      <c r="A5" s="2">
        <v>4</v>
      </c>
    </row>
    <row r="6" spans="1:114" x14ac:dyDescent="0.35">
      <c r="A6" s="2">
        <v>3</v>
      </c>
    </row>
    <row r="7" spans="1:114" x14ac:dyDescent="0.35">
      <c r="A7" s="2">
        <v>2</v>
      </c>
    </row>
    <row r="8" spans="1:114" x14ac:dyDescent="0.35">
      <c r="A8" s="2">
        <v>3</v>
      </c>
    </row>
    <row r="9" spans="1:114" x14ac:dyDescent="0.35">
      <c r="A9" s="2">
        <v>1</v>
      </c>
    </row>
    <row r="10" spans="1:114" x14ac:dyDescent="0.35">
      <c r="A10" s="2">
        <v>2</v>
      </c>
    </row>
    <row r="11" spans="1:114" x14ac:dyDescent="0.35">
      <c r="A11" s="2">
        <v>3</v>
      </c>
    </row>
    <row r="12" spans="1:114" x14ac:dyDescent="0.35">
      <c r="A12" s="2">
        <v>2</v>
      </c>
    </row>
    <row r="13" spans="1:114" x14ac:dyDescent="0.35">
      <c r="A13" s="2">
        <v>2</v>
      </c>
    </row>
    <row r="14" spans="1:114" x14ac:dyDescent="0.35">
      <c r="A14" s="2">
        <v>2</v>
      </c>
    </row>
    <row r="15" spans="1:114" x14ac:dyDescent="0.35">
      <c r="A15" s="2">
        <v>2</v>
      </c>
    </row>
    <row r="16" spans="1:114" x14ac:dyDescent="0.35">
      <c r="A16" s="2">
        <v>1</v>
      </c>
    </row>
    <row r="17" spans="1:4" x14ac:dyDescent="0.35">
      <c r="A17" s="2">
        <v>2</v>
      </c>
    </row>
    <row r="18" spans="1:4" x14ac:dyDescent="0.35">
      <c r="A18" s="2">
        <v>1</v>
      </c>
      <c r="B18" t="s">
        <v>1</v>
      </c>
      <c r="C18">
        <f>COUNTIF(A2:A105, 1)</f>
        <v>15</v>
      </c>
      <c r="D18" s="3">
        <f>C18/(SUM(C$18:C$21))</f>
        <v>0.14563106796116504</v>
      </c>
    </row>
    <row r="19" spans="1:4" x14ac:dyDescent="0.35">
      <c r="A19" s="2">
        <v>2</v>
      </c>
      <c r="B19" t="s">
        <v>2</v>
      </c>
      <c r="C19">
        <f>COUNTIF(A3:A106, 2)</f>
        <v>49</v>
      </c>
      <c r="D19" s="3">
        <f t="shared" ref="D19:D21" si="0">C19/(SUM(C$18:C$21))</f>
        <v>0.47572815533980584</v>
      </c>
    </row>
    <row r="20" spans="1:4" x14ac:dyDescent="0.35">
      <c r="A20" s="2">
        <v>1</v>
      </c>
      <c r="B20" t="s">
        <v>3</v>
      </c>
      <c r="C20">
        <f>COUNTIF(A4:A107, 3)</f>
        <v>25</v>
      </c>
      <c r="D20" s="3">
        <f t="shared" si="0"/>
        <v>0.24271844660194175</v>
      </c>
    </row>
    <row r="21" spans="1:4" x14ac:dyDescent="0.35">
      <c r="A21" s="2">
        <v>3</v>
      </c>
      <c r="B21" t="s">
        <v>4</v>
      </c>
      <c r="C21">
        <f>COUNTIF(A5:A108, 4)</f>
        <v>14</v>
      </c>
      <c r="D21" s="3">
        <f t="shared" si="0"/>
        <v>0.13592233009708737</v>
      </c>
    </row>
    <row r="22" spans="1:4" x14ac:dyDescent="0.35">
      <c r="A22" s="2">
        <v>2</v>
      </c>
    </row>
    <row r="23" spans="1:4" x14ac:dyDescent="0.35">
      <c r="A23" s="2">
        <v>3</v>
      </c>
    </row>
    <row r="24" spans="1:4" x14ac:dyDescent="0.35">
      <c r="A24" s="2">
        <v>3</v>
      </c>
    </row>
    <row r="25" spans="1:4" x14ac:dyDescent="0.35">
      <c r="A25" s="2">
        <v>2</v>
      </c>
    </row>
    <row r="26" spans="1:4" x14ac:dyDescent="0.35">
      <c r="A26" s="2">
        <v>4</v>
      </c>
    </row>
    <row r="27" spans="1:4" x14ac:dyDescent="0.35">
      <c r="A27" s="2">
        <v>2</v>
      </c>
    </row>
    <row r="28" spans="1:4" x14ac:dyDescent="0.35">
      <c r="A28" s="2">
        <v>3</v>
      </c>
    </row>
    <row r="29" spans="1:4" x14ac:dyDescent="0.35">
      <c r="A29" s="2">
        <v>2</v>
      </c>
    </row>
    <row r="30" spans="1:4" x14ac:dyDescent="0.35">
      <c r="A30" s="2">
        <v>2</v>
      </c>
    </row>
    <row r="31" spans="1:4" x14ac:dyDescent="0.35">
      <c r="A31" s="2">
        <v>4</v>
      </c>
    </row>
    <row r="32" spans="1:4" x14ac:dyDescent="0.35">
      <c r="A32" s="2">
        <v>3</v>
      </c>
    </row>
    <row r="33" spans="1:1" x14ac:dyDescent="0.35">
      <c r="A33" s="2">
        <v>2</v>
      </c>
    </row>
    <row r="34" spans="1:1" x14ac:dyDescent="0.35">
      <c r="A34" s="2">
        <v>2</v>
      </c>
    </row>
    <row r="35" spans="1:1" x14ac:dyDescent="0.35">
      <c r="A35" s="2">
        <v>1</v>
      </c>
    </row>
    <row r="36" spans="1:1" x14ac:dyDescent="0.35">
      <c r="A36" s="2">
        <v>3</v>
      </c>
    </row>
    <row r="37" spans="1:1" x14ac:dyDescent="0.35">
      <c r="A37" s="2">
        <v>4</v>
      </c>
    </row>
    <row r="38" spans="1:1" x14ac:dyDescent="0.35">
      <c r="A38" s="2">
        <v>4</v>
      </c>
    </row>
    <row r="39" spans="1:1" x14ac:dyDescent="0.35">
      <c r="A39" s="2">
        <v>2</v>
      </c>
    </row>
    <row r="40" spans="1:1" x14ac:dyDescent="0.35">
      <c r="A40" s="2">
        <v>2</v>
      </c>
    </row>
    <row r="41" spans="1:1" x14ac:dyDescent="0.35">
      <c r="A41" s="2">
        <v>1</v>
      </c>
    </row>
    <row r="42" spans="1:1" x14ac:dyDescent="0.35">
      <c r="A42" s="2">
        <v>2</v>
      </c>
    </row>
    <row r="43" spans="1:1" x14ac:dyDescent="0.35">
      <c r="A43" s="2">
        <v>3</v>
      </c>
    </row>
    <row r="44" spans="1:1" x14ac:dyDescent="0.35">
      <c r="A44" s="2">
        <v>2</v>
      </c>
    </row>
    <row r="45" spans="1:1" x14ac:dyDescent="0.35">
      <c r="A45" s="2">
        <v>2</v>
      </c>
    </row>
    <row r="46" spans="1:1" x14ac:dyDescent="0.35">
      <c r="A46" s="2">
        <v>2</v>
      </c>
    </row>
    <row r="47" spans="1:1" x14ac:dyDescent="0.35">
      <c r="A47" s="2">
        <v>4</v>
      </c>
    </row>
    <row r="48" spans="1:1" x14ac:dyDescent="0.35">
      <c r="A48" s="2">
        <v>3</v>
      </c>
    </row>
    <row r="49" spans="1:1" x14ac:dyDescent="0.35">
      <c r="A49" s="2">
        <v>2</v>
      </c>
    </row>
    <row r="50" spans="1:1" x14ac:dyDescent="0.35">
      <c r="A50" s="2">
        <v>3</v>
      </c>
    </row>
    <row r="51" spans="1:1" x14ac:dyDescent="0.35">
      <c r="A51" s="2">
        <v>2</v>
      </c>
    </row>
    <row r="52" spans="1:1" x14ac:dyDescent="0.35">
      <c r="A52" s="2">
        <v>3</v>
      </c>
    </row>
    <row r="53" spans="1:1" x14ac:dyDescent="0.35">
      <c r="A53" s="2">
        <v>2</v>
      </c>
    </row>
    <row r="54" spans="1:1" x14ac:dyDescent="0.35">
      <c r="A54" s="2">
        <v>1</v>
      </c>
    </row>
    <row r="55" spans="1:1" x14ac:dyDescent="0.35">
      <c r="A55" s="2">
        <v>3</v>
      </c>
    </row>
    <row r="56" spans="1:1" x14ac:dyDescent="0.35">
      <c r="A56" s="2">
        <v>3</v>
      </c>
    </row>
    <row r="57" spans="1:1" x14ac:dyDescent="0.35">
      <c r="A57" s="2">
        <v>2</v>
      </c>
    </row>
    <row r="58" spans="1:1" x14ac:dyDescent="0.35">
      <c r="A58" s="2">
        <v>4</v>
      </c>
    </row>
    <row r="59" spans="1:1" x14ac:dyDescent="0.35">
      <c r="A59" s="2">
        <v>3</v>
      </c>
    </row>
    <row r="60" spans="1:1" x14ac:dyDescent="0.35">
      <c r="A60" s="2">
        <v>1</v>
      </c>
    </row>
    <row r="61" spans="1:1" x14ac:dyDescent="0.35">
      <c r="A61" s="2">
        <v>2</v>
      </c>
    </row>
    <row r="62" spans="1:1" x14ac:dyDescent="0.35">
      <c r="A62" s="2">
        <v>3</v>
      </c>
    </row>
    <row r="63" spans="1:1" x14ac:dyDescent="0.35">
      <c r="A63" s="2">
        <v>4</v>
      </c>
    </row>
    <row r="64" spans="1:1" x14ac:dyDescent="0.35">
      <c r="A64" s="2">
        <v>1</v>
      </c>
    </row>
    <row r="65" spans="1:1" x14ac:dyDescent="0.35">
      <c r="A65" s="2">
        <v>3</v>
      </c>
    </row>
    <row r="66" spans="1:1" x14ac:dyDescent="0.35">
      <c r="A66" s="2">
        <v>3</v>
      </c>
    </row>
    <row r="67" spans="1:1" x14ac:dyDescent="0.35">
      <c r="A67" s="2">
        <v>2</v>
      </c>
    </row>
    <row r="68" spans="1:1" x14ac:dyDescent="0.35">
      <c r="A68" s="2">
        <v>2</v>
      </c>
    </row>
    <row r="69" spans="1:1" x14ac:dyDescent="0.35">
      <c r="A69" s="2">
        <v>1</v>
      </c>
    </row>
    <row r="70" spans="1:1" x14ac:dyDescent="0.35">
      <c r="A70" s="2">
        <v>2</v>
      </c>
    </row>
    <row r="71" spans="1:1" x14ac:dyDescent="0.35">
      <c r="A71" s="2">
        <v>2</v>
      </c>
    </row>
    <row r="72" spans="1:1" x14ac:dyDescent="0.35">
      <c r="A72" s="2">
        <v>2</v>
      </c>
    </row>
    <row r="73" spans="1:1" x14ac:dyDescent="0.35">
      <c r="A73" s="2">
        <v>2</v>
      </c>
    </row>
    <row r="74" spans="1:1" x14ac:dyDescent="0.35">
      <c r="A74" s="2">
        <v>4</v>
      </c>
    </row>
    <row r="75" spans="1:1" x14ac:dyDescent="0.35">
      <c r="A75" s="2">
        <v>1</v>
      </c>
    </row>
    <row r="76" spans="1:1" x14ac:dyDescent="0.35">
      <c r="A76" s="2">
        <v>4</v>
      </c>
    </row>
    <row r="77" spans="1:1" x14ac:dyDescent="0.35">
      <c r="A77" s="2">
        <v>2</v>
      </c>
    </row>
    <row r="78" spans="1:1" x14ac:dyDescent="0.35">
      <c r="A78" s="2">
        <v>1</v>
      </c>
    </row>
    <row r="79" spans="1:1" x14ac:dyDescent="0.35">
      <c r="A79" s="2">
        <v>1</v>
      </c>
    </row>
    <row r="80" spans="1:1" x14ac:dyDescent="0.35">
      <c r="A80" s="2">
        <v>1</v>
      </c>
    </row>
    <row r="81" spans="1:1" x14ac:dyDescent="0.35">
      <c r="A81" s="2">
        <v>2</v>
      </c>
    </row>
    <row r="82" spans="1:1" x14ac:dyDescent="0.35">
      <c r="A82" s="2">
        <v>1</v>
      </c>
    </row>
    <row r="83" spans="1:1" x14ac:dyDescent="0.35">
      <c r="A83" s="2">
        <v>2</v>
      </c>
    </row>
    <row r="84" spans="1:1" x14ac:dyDescent="0.35">
      <c r="A84" s="2">
        <v>4</v>
      </c>
    </row>
    <row r="85" spans="1:1" x14ac:dyDescent="0.35">
      <c r="A85" s="2">
        <v>2</v>
      </c>
    </row>
    <row r="86" spans="1:1" x14ac:dyDescent="0.35">
      <c r="A86" s="2">
        <v>4</v>
      </c>
    </row>
    <row r="87" spans="1:1" x14ac:dyDescent="0.35">
      <c r="A87" s="2">
        <v>3</v>
      </c>
    </row>
    <row r="88" spans="1:1" x14ac:dyDescent="0.35">
      <c r="A88" s="2">
        <v>2</v>
      </c>
    </row>
    <row r="89" spans="1:1" x14ac:dyDescent="0.35">
      <c r="A89" s="2">
        <v>2</v>
      </c>
    </row>
    <row r="90" spans="1:1" x14ac:dyDescent="0.35">
      <c r="A90" s="2">
        <v>2</v>
      </c>
    </row>
    <row r="91" spans="1:1" x14ac:dyDescent="0.35">
      <c r="A91" s="2">
        <v>2</v>
      </c>
    </row>
    <row r="92" spans="1:1" x14ac:dyDescent="0.35">
      <c r="A92" s="2">
        <v>2</v>
      </c>
    </row>
    <row r="93" spans="1:1" x14ac:dyDescent="0.35">
      <c r="A93" s="2">
        <v>3</v>
      </c>
    </row>
    <row r="94" spans="1:1" x14ac:dyDescent="0.35">
      <c r="A94" s="2">
        <v>2</v>
      </c>
    </row>
    <row r="95" spans="1:1" x14ac:dyDescent="0.35">
      <c r="A95" s="2">
        <v>3</v>
      </c>
    </row>
    <row r="96" spans="1:1" x14ac:dyDescent="0.35">
      <c r="A96" s="2">
        <v>2</v>
      </c>
    </row>
    <row r="97" spans="1:1" x14ac:dyDescent="0.35">
      <c r="A97" s="2">
        <v>3</v>
      </c>
    </row>
    <row r="98" spans="1:1" x14ac:dyDescent="0.35">
      <c r="A98" s="2">
        <v>2</v>
      </c>
    </row>
    <row r="99" spans="1:1" x14ac:dyDescent="0.35">
      <c r="A99" s="2">
        <v>3</v>
      </c>
    </row>
    <row r="100" spans="1:1" x14ac:dyDescent="0.35">
      <c r="A100" s="2">
        <v>2</v>
      </c>
    </row>
    <row r="101" spans="1:1" x14ac:dyDescent="0.35">
      <c r="A101" s="2">
        <v>4</v>
      </c>
    </row>
    <row r="102" spans="1:1" x14ac:dyDescent="0.35">
      <c r="A102" s="2">
        <v>4</v>
      </c>
    </row>
    <row r="103" spans="1:1" x14ac:dyDescent="0.35">
      <c r="A103" s="2">
        <v>2</v>
      </c>
    </row>
    <row r="104" spans="1:1" x14ac:dyDescent="0.35">
      <c r="A104" s="2">
        <v>3</v>
      </c>
    </row>
    <row r="105" spans="1:1" x14ac:dyDescent="0.35">
      <c r="A105" s="2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9FD3-B7A4-4E88-B9BB-D4EC41B593DA}">
  <dimension ref="A1:I10"/>
  <sheetViews>
    <sheetView tabSelected="1" workbookViewId="0">
      <selection activeCell="F9" sqref="F9"/>
    </sheetView>
  </sheetViews>
  <sheetFormatPr defaultRowHeight="14.5" x14ac:dyDescent="0.35"/>
  <cols>
    <col min="2" max="2" width="10.6328125" bestFit="1" customWidth="1"/>
    <col min="6" max="6" width="14.1796875" bestFit="1" customWidth="1"/>
    <col min="7" max="7" width="11" bestFit="1" customWidth="1"/>
    <col min="8" max="8" width="15.7265625" bestFit="1" customWidth="1"/>
    <col min="9" max="9" width="12.54296875" bestFit="1" customWidth="1"/>
  </cols>
  <sheetData>
    <row r="1" spans="1:9" x14ac:dyDescent="0.35">
      <c r="A1" t="s">
        <v>5</v>
      </c>
      <c r="B1" t="s">
        <v>6</v>
      </c>
      <c r="C1" s="4">
        <v>0.5</v>
      </c>
      <c r="D1" s="4">
        <v>0.4</v>
      </c>
      <c r="E1" s="4">
        <v>0.1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1000</v>
      </c>
      <c r="B2" s="8">
        <f>A2/8</f>
        <v>125</v>
      </c>
      <c r="C2" s="8">
        <f>B2*0.5</f>
        <v>62.5</v>
      </c>
      <c r="D2" s="8">
        <f>B2*0.4</f>
        <v>50</v>
      </c>
      <c r="E2" s="8">
        <f>B2*0.1</f>
        <v>12.5</v>
      </c>
      <c r="F2" s="8">
        <v>4.91025E-2</v>
      </c>
      <c r="G2" s="8">
        <v>0.10630000000000001</v>
      </c>
      <c r="H2" s="8">
        <f>F2*60</f>
        <v>2.9461499999999998</v>
      </c>
      <c r="I2" s="8">
        <f>G2*60</f>
        <v>6.3780000000000001</v>
      </c>
    </row>
    <row r="3" spans="1:9" x14ac:dyDescent="0.35">
      <c r="A3">
        <v>900</v>
      </c>
      <c r="B3" s="8">
        <f>A3/8</f>
        <v>112.5</v>
      </c>
      <c r="C3" s="8">
        <f>B3*0.5</f>
        <v>56.25</v>
      </c>
      <c r="D3" s="8">
        <f>B3*0.4</f>
        <v>45</v>
      </c>
      <c r="E3" s="8">
        <f>B3*0.1</f>
        <v>11.25</v>
      </c>
      <c r="F3" s="8">
        <v>4.5948849999999999E-2</v>
      </c>
      <c r="G3" s="8">
        <v>9.5299999999999996E-2</v>
      </c>
      <c r="H3" s="8">
        <f>F3*60</f>
        <v>2.7569309999999998</v>
      </c>
      <c r="I3" s="8">
        <f>G3*60</f>
        <v>5.718</v>
      </c>
    </row>
    <row r="4" spans="1:9" x14ac:dyDescent="0.35">
      <c r="A4">
        <v>800</v>
      </c>
      <c r="B4" s="8">
        <f>A4/8</f>
        <v>100</v>
      </c>
      <c r="C4" s="8">
        <f>B4*0.5</f>
        <v>50</v>
      </c>
      <c r="D4" s="8">
        <f>B4*0.4</f>
        <v>40</v>
      </c>
      <c r="E4" s="8">
        <f>B4*0.1</f>
        <v>10</v>
      </c>
      <c r="F4" s="8">
        <v>3.7305699999999997E-2</v>
      </c>
      <c r="G4" s="8">
        <v>8.6507360000000005E-2</v>
      </c>
      <c r="H4" s="8">
        <f t="shared" ref="H4:H7" si="0">F4*60</f>
        <v>2.2383419999999998</v>
      </c>
      <c r="I4" s="8">
        <f t="shared" ref="I4:I7" si="1">G4*60</f>
        <v>5.1904416000000007</v>
      </c>
    </row>
    <row r="5" spans="1:9" x14ac:dyDescent="0.35">
      <c r="A5">
        <v>700</v>
      </c>
      <c r="B5" s="8">
        <f>A5/8</f>
        <v>87.5</v>
      </c>
      <c r="C5" s="8">
        <f>B5*0.5</f>
        <v>43.75</v>
      </c>
      <c r="D5" s="8">
        <f>B5*0.4</f>
        <v>35</v>
      </c>
      <c r="E5" s="8">
        <f>B5*0.1</f>
        <v>8.75</v>
      </c>
      <c r="F5" s="8">
        <v>3.1301549999999997E-2</v>
      </c>
      <c r="G5" s="8">
        <v>7.5829199999999999E-2</v>
      </c>
      <c r="H5" s="8">
        <f t="shared" si="0"/>
        <v>1.8780929999999998</v>
      </c>
      <c r="I5" s="8">
        <f t="shared" si="1"/>
        <v>4.5497519999999998</v>
      </c>
    </row>
    <row r="6" spans="1:9" x14ac:dyDescent="0.35">
      <c r="A6">
        <v>750</v>
      </c>
      <c r="B6" s="8">
        <f>A6/8</f>
        <v>93.75</v>
      </c>
      <c r="C6" s="8">
        <f>B6*0.5</f>
        <v>46.875</v>
      </c>
      <c r="D6" s="8">
        <f>B6*0.4</f>
        <v>37.5</v>
      </c>
      <c r="E6" s="8">
        <f>B6*0.1</f>
        <v>9.375</v>
      </c>
      <c r="F6" s="8">
        <v>3.3031720000000001E-2</v>
      </c>
      <c r="G6" s="8">
        <v>7.4073970000000003E-2</v>
      </c>
      <c r="H6" s="8">
        <f t="shared" si="0"/>
        <v>1.9819032000000001</v>
      </c>
      <c r="I6" s="8">
        <f t="shared" si="1"/>
        <v>4.4444382000000004</v>
      </c>
    </row>
    <row r="7" spans="1:9" x14ac:dyDescent="0.35">
      <c r="A7">
        <v>775</v>
      </c>
      <c r="B7" s="8">
        <f>A7/8</f>
        <v>96.875</v>
      </c>
      <c r="C7" s="8">
        <f>B7*0.5</f>
        <v>48.4375</v>
      </c>
      <c r="D7" s="8">
        <f>B7*0.4</f>
        <v>38.75</v>
      </c>
      <c r="E7" s="8">
        <f>B7*0.1</f>
        <v>9.6875</v>
      </c>
      <c r="F7" s="8">
        <v>3.8931840000000002E-2</v>
      </c>
      <c r="G7" s="8">
        <v>8.8631740000000001E-2</v>
      </c>
      <c r="H7" s="8">
        <f t="shared" si="0"/>
        <v>2.3359103999999999</v>
      </c>
      <c r="I7" s="8">
        <f t="shared" si="1"/>
        <v>5.3179043999999998</v>
      </c>
    </row>
    <row r="8" spans="1:9" x14ac:dyDescent="0.35">
      <c r="A8">
        <v>760</v>
      </c>
      <c r="B8" s="8">
        <f>A8/8</f>
        <v>95</v>
      </c>
      <c r="C8" s="8">
        <f>B8*0.5</f>
        <v>47.5</v>
      </c>
      <c r="D8" s="8">
        <f>B8*0.4</f>
        <v>38</v>
      </c>
      <c r="E8" s="8">
        <f>B8*0.1</f>
        <v>9.5</v>
      </c>
      <c r="F8" s="8">
        <v>3.664456E-2</v>
      </c>
      <c r="G8" s="8">
        <v>7.523183E-2</v>
      </c>
      <c r="H8" s="8">
        <f>F8*60</f>
        <v>2.1986735999999998</v>
      </c>
      <c r="I8" s="8">
        <f>G8*60</f>
        <v>4.5139098000000004</v>
      </c>
    </row>
    <row r="9" spans="1:9" x14ac:dyDescent="0.35">
      <c r="A9">
        <v>767</v>
      </c>
      <c r="B9" s="8">
        <f>A9/8</f>
        <v>95.875</v>
      </c>
      <c r="C9" s="8">
        <f>B9*0.5</f>
        <v>47.9375</v>
      </c>
      <c r="D9" s="8">
        <f>B9*0.4</f>
        <v>38.35</v>
      </c>
      <c r="E9" s="8">
        <f>B9*0.1</f>
        <v>9.5875000000000004</v>
      </c>
      <c r="F9" s="8">
        <v>3.6092150000000003E-2</v>
      </c>
      <c r="G9" s="8">
        <v>7.546551E-2</v>
      </c>
      <c r="H9" s="8">
        <f>F9*60</f>
        <v>2.1655290000000003</v>
      </c>
      <c r="I9" s="8">
        <f>G9*60</f>
        <v>4.5279306000000004</v>
      </c>
    </row>
    <row r="10" spans="1:9" x14ac:dyDescent="0.35">
      <c r="A10">
        <v>770</v>
      </c>
      <c r="B10" s="8">
        <f>A10/8</f>
        <v>96.25</v>
      </c>
      <c r="C10" s="8">
        <f>B10*0.5</f>
        <v>48.125</v>
      </c>
      <c r="D10" s="8">
        <f>B10*0.4</f>
        <v>38.5</v>
      </c>
      <c r="E10" s="8">
        <f>B10*0.1</f>
        <v>9.625</v>
      </c>
      <c r="F10" s="8">
        <v>3.0992499999999999E-2</v>
      </c>
      <c r="G10" s="8">
        <v>8.085494E-2</v>
      </c>
      <c r="H10" s="8">
        <f>F10*60</f>
        <v>1.85955</v>
      </c>
      <c r="I10" s="8">
        <f>G10*60</f>
        <v>4.8512963999999998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23F3-14B5-4534-9A98-C4A79F24E4FF}">
  <dimension ref="A1:D11"/>
  <sheetViews>
    <sheetView workbookViewId="0">
      <selection activeCell="C12" sqref="C12"/>
    </sheetView>
  </sheetViews>
  <sheetFormatPr defaultRowHeight="14.5" x14ac:dyDescent="0.35"/>
  <cols>
    <col min="3" max="3" width="16.453125" style="8" bestFit="1" customWidth="1"/>
    <col min="4" max="4" width="12.90625" style="8" bestFit="1" customWidth="1"/>
  </cols>
  <sheetData>
    <row r="1" spans="1:4" ht="15" thickBot="1" x14ac:dyDescent="0.4">
      <c r="A1" s="5"/>
    </row>
    <row r="2" spans="1:4" ht="15" thickBot="1" x14ac:dyDescent="0.4">
      <c r="B2" s="7" t="s">
        <v>5</v>
      </c>
      <c r="C2" s="11" t="s">
        <v>11</v>
      </c>
      <c r="D2" s="12" t="s">
        <v>12</v>
      </c>
    </row>
    <row r="3" spans="1:4" x14ac:dyDescent="0.35">
      <c r="B3" s="6">
        <v>1000</v>
      </c>
      <c r="C3" s="9">
        <v>2.9461499999999998</v>
      </c>
      <c r="D3" s="10">
        <v>6.3780000000000001</v>
      </c>
    </row>
    <row r="4" spans="1:4" x14ac:dyDescent="0.35">
      <c r="B4" s="6">
        <v>900</v>
      </c>
      <c r="C4" s="9">
        <v>2.7569309999999998</v>
      </c>
      <c r="D4" s="10">
        <v>5.718</v>
      </c>
    </row>
    <row r="5" spans="1:4" x14ac:dyDescent="0.35">
      <c r="B5" s="6">
        <v>800</v>
      </c>
      <c r="C5" s="9">
        <v>2.2383419999999998</v>
      </c>
      <c r="D5" s="10">
        <v>5.1904416000000007</v>
      </c>
    </row>
    <row r="6" spans="1:4" x14ac:dyDescent="0.35">
      <c r="B6" s="6">
        <v>700</v>
      </c>
      <c r="C6" s="9">
        <v>1.8780929999999998</v>
      </c>
      <c r="D6" s="10">
        <v>4.5497519999999998</v>
      </c>
    </row>
    <row r="7" spans="1:4" x14ac:dyDescent="0.35">
      <c r="B7" s="6">
        <v>750</v>
      </c>
      <c r="C7" s="9">
        <v>1.9819032000000001</v>
      </c>
      <c r="D7" s="10">
        <v>4.4444382000000004</v>
      </c>
    </row>
    <row r="8" spans="1:4" x14ac:dyDescent="0.35">
      <c r="B8" s="6">
        <v>775</v>
      </c>
      <c r="C8" s="9">
        <v>2.3359103999999999</v>
      </c>
      <c r="D8" s="10">
        <v>5.3179043999999998</v>
      </c>
    </row>
    <row r="9" spans="1:4" x14ac:dyDescent="0.35">
      <c r="B9" s="6">
        <v>760</v>
      </c>
      <c r="C9" s="9">
        <v>2.1986735999999998</v>
      </c>
      <c r="D9" s="10">
        <v>4.5139098000000004</v>
      </c>
    </row>
    <row r="10" spans="1:4" x14ac:dyDescent="0.35">
      <c r="B10" s="6">
        <v>767</v>
      </c>
      <c r="C10" s="9">
        <v>2.1655290000000003</v>
      </c>
      <c r="D10" s="10">
        <v>4.5279306000000004</v>
      </c>
    </row>
    <row r="11" spans="1:4" ht="15" thickBot="1" x14ac:dyDescent="0.4">
      <c r="B11" s="13">
        <v>770</v>
      </c>
      <c r="C11" s="14">
        <v>1.85955</v>
      </c>
      <c r="D11" s="15">
        <v>4.8512963999999998</v>
      </c>
    </row>
  </sheetData>
  <conditionalFormatting sqref="D3:D11">
    <cfRule type="colorScale" priority="1">
      <colorScale>
        <cfvo type="min"/>
        <cfvo type="num" val="5"/>
        <cfvo type="max"/>
        <color rgb="FF00B050"/>
        <color theme="0"/>
        <color rgb="FFFF0000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8562539C3EB448CC1688B819561F1" ma:contentTypeVersion="7" ma:contentTypeDescription="Create a new document." ma:contentTypeScope="" ma:versionID="cfbabcfa822f7b61e6d931f18c706448">
  <xsd:schema xmlns:xsd="http://www.w3.org/2001/XMLSchema" xmlns:xs="http://www.w3.org/2001/XMLSchema" xmlns:p="http://schemas.microsoft.com/office/2006/metadata/properties" xmlns:ns3="4d97854b-f5f3-408b-902f-f5331362fa95" xmlns:ns4="867b3625-3383-42c3-a012-d26972487470" targetNamespace="http://schemas.microsoft.com/office/2006/metadata/properties" ma:root="true" ma:fieldsID="79e5edb9ec52d4ce208b15c4610a2fd0" ns3:_="" ns4:_="">
    <xsd:import namespace="4d97854b-f5f3-408b-902f-f5331362fa95"/>
    <xsd:import namespace="867b3625-3383-42c3-a012-d269724874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7854b-f5f3-408b-902f-f5331362f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b3625-3383-42c3-a012-d269724874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2203B-E48B-4F42-801C-57A4178B8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7854b-f5f3-408b-902f-f5331362fa95"/>
    <ds:schemaRef ds:uri="867b3625-3383-42c3-a012-d269724874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59C8C-5D5A-476F-B980-EAD9B6F661ED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d97854b-f5f3-408b-902f-f5331362fa95"/>
    <ds:schemaRef ds:uri="http://purl.org/dc/terms/"/>
    <ds:schemaRef ds:uri="867b3625-3383-42c3-a012-d2697248747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3B183F9-0E40-4918-8F1F-413814D656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Kottke</dc:creator>
  <cp:lastModifiedBy>Reed Kottke</cp:lastModifiedBy>
  <dcterms:created xsi:type="dcterms:W3CDTF">2021-03-05T01:38:34Z</dcterms:created>
  <dcterms:modified xsi:type="dcterms:W3CDTF">2021-03-07T23:51:11Z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0x0101008FC8562539C3EB448CC1688B819561F1</vt:lpwstr>
  </property>
</Properties>
</file>